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15062\Desktop\Google Data Analytics\practice\"/>
    </mc:Choice>
  </mc:AlternateContent>
  <xr:revisionPtr revIDLastSave="0" documentId="13_ncr:1_{471C95CE-1F97-4843-A0C3-0B27B7C655D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rics" sheetId="4" r:id="rId1"/>
    <sheet name="Sales Data " sheetId="1" r:id="rId2"/>
    <sheet name="Steps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L2" i="1"/>
  <c r="K2" i="1"/>
  <c r="J2" i="1"/>
  <c r="I2" i="1"/>
  <c r="H5" i="1"/>
  <c r="H4" i="1"/>
  <c r="H3" i="1"/>
  <c r="H2" i="1"/>
  <c r="F5" i="1"/>
  <c r="F4" i="1"/>
  <c r="F3" i="1"/>
  <c r="F2" i="1"/>
</calcChain>
</file>

<file path=xl/sharedStrings.xml><?xml version="1.0" encoding="utf-8"?>
<sst xmlns="http://schemas.openxmlformats.org/spreadsheetml/2006/main" count="36" uniqueCount="30">
  <si>
    <t>Step 1 – Algorithm (Creating a clear step-by-step process)</t>
  </si>
  <si>
    <r>
      <t xml:space="preserve">Before touching Excel, write down the </t>
    </r>
    <r>
      <rPr>
        <b/>
        <sz val="11"/>
        <color theme="1"/>
        <rFont val="Calibri"/>
        <family val="2"/>
        <scheme val="minor"/>
      </rPr>
      <t>algorithm</t>
    </r>
    <r>
      <rPr>
        <sz val="11"/>
        <color theme="1"/>
        <rFont val="Calibri"/>
        <family val="2"/>
        <scheme val="minor"/>
      </rPr>
      <t xml:space="preserve"> for tracking and analyzing your sales.</t>
    </r>
  </si>
  <si>
    <t>Example algorithm:</t>
  </si>
  <si>
    <t>1. Record daily sales in Excel (date, product, units sold, price per unit, ad cost).</t>
  </si>
  <si>
    <t>2. Calculate revenue for each sale (Units × Price per unit).</t>
  </si>
  <si>
    <t>3. Calculate total revenue per product using a pivot table.</t>
  </si>
  <si>
    <t>4. Create a pivot chart to visualize sales trends.</t>
  </si>
  <si>
    <t>5. Set a metric (e.g., average daily revenue) and a metric goal (e.g., ₹2,000/day).</t>
  </si>
  <si>
    <t>6. Calculate ROI for your advertising.</t>
  </si>
  <si>
    <t>7. Review results and decide on improvements.</t>
  </si>
  <si>
    <t>Date</t>
  </si>
  <si>
    <t>Product</t>
  </si>
  <si>
    <t>Units Sold</t>
  </si>
  <si>
    <t>Mug A</t>
  </si>
  <si>
    <t>Mug B</t>
  </si>
  <si>
    <t>Row Labels</t>
  </si>
  <si>
    <t>(blank)</t>
  </si>
  <si>
    <t>Grand Total</t>
  </si>
  <si>
    <t>Column Labels</t>
  </si>
  <si>
    <t>Price per Unit($)</t>
  </si>
  <si>
    <t>Ad Cost($)</t>
  </si>
  <si>
    <t>Revenue(units*price per unit)($)</t>
  </si>
  <si>
    <t>Average daily revenue($)</t>
  </si>
  <si>
    <t>Metric goals (&gt;= 2000/day)</t>
  </si>
  <si>
    <t>Sum of Revenue(units*price per unit)($)</t>
  </si>
  <si>
    <t>Total Revenue</t>
  </si>
  <si>
    <t xml:space="preserve">Total ad costs </t>
  </si>
  <si>
    <t>ROI from Ads</t>
  </si>
  <si>
    <t xml:space="preserve">Profits </t>
  </si>
  <si>
    <t xml:space="preserve">Average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</si>
</sst>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1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  <xf numFmtId="9" fontId="0" fillId="0" borderId="0" xfId="1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1" xfId="0" applyFill="1" applyBorder="1"/>
    <xf numFmtId="9" fontId="0" fillId="2" borderId="1" xfId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 small online store selling handmade mugs.xlsx]Metrics!PivotTable3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Metrics!$B$3:$B$4</c:f>
              <c:strCache>
                <c:ptCount val="1"/>
                <c:pt idx="0">
                  <c:v>2025-01-01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Metrics!$A$5:$A$8</c:f>
              <c:strCache>
                <c:ptCount val="3"/>
                <c:pt idx="0">
                  <c:v>Mug A</c:v>
                </c:pt>
                <c:pt idx="1">
                  <c:v>Mug B</c:v>
                </c:pt>
                <c:pt idx="2">
                  <c:v>(blank)</c:v>
                </c:pt>
              </c:strCache>
            </c:strRef>
          </c:cat>
          <c:val>
            <c:numRef>
              <c:f>Metrics!$B$5:$B$8</c:f>
              <c:numCache>
                <c:formatCode>General</c:formatCode>
                <c:ptCount val="3"/>
                <c:pt idx="0">
                  <c:v>1250</c:v>
                </c:pt>
                <c:pt idx="1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B-4098-A2AC-F3EC38D240C6}"/>
            </c:ext>
          </c:extLst>
        </c:ser>
        <c:ser>
          <c:idx val="1"/>
          <c:order val="1"/>
          <c:tx>
            <c:strRef>
              <c:f>Metrics!$C$3:$C$4</c:f>
              <c:strCache>
                <c:ptCount val="1"/>
                <c:pt idx="0">
                  <c:v>2025-01-02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Metrics!$A$5:$A$8</c:f>
              <c:strCache>
                <c:ptCount val="3"/>
                <c:pt idx="0">
                  <c:v>Mug A</c:v>
                </c:pt>
                <c:pt idx="1">
                  <c:v>Mug B</c:v>
                </c:pt>
                <c:pt idx="2">
                  <c:v>(blank)</c:v>
                </c:pt>
              </c:strCache>
            </c:strRef>
          </c:cat>
          <c:val>
            <c:numRef>
              <c:f>Metrics!$C$5:$C$8</c:f>
              <c:numCache>
                <c:formatCode>General</c:formatCode>
                <c:ptCount val="3"/>
                <c:pt idx="0">
                  <c:v>1000</c:v>
                </c:pt>
                <c:pt idx="1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BB-4098-A2AC-F3EC38D240C6}"/>
            </c:ext>
          </c:extLst>
        </c:ser>
        <c:ser>
          <c:idx val="2"/>
          <c:order val="2"/>
          <c:tx>
            <c:strRef>
              <c:f>Metrics!$D$3:$D$4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Metrics!$A$5:$A$8</c:f>
              <c:strCache>
                <c:ptCount val="3"/>
                <c:pt idx="0">
                  <c:v>Mug A</c:v>
                </c:pt>
                <c:pt idx="1">
                  <c:v>Mug B</c:v>
                </c:pt>
                <c:pt idx="2">
                  <c:v>(blank)</c:v>
                </c:pt>
              </c:strCache>
            </c:strRef>
          </c:cat>
          <c:val>
            <c:numRef>
              <c:f>Metrics!$D$5:$D$8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A1BB-4098-A2AC-F3EC38D24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4698175"/>
        <c:axId val="554698655"/>
      </c:barChart>
      <c:catAx>
        <c:axId val="55469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698655"/>
        <c:crosses val="autoZero"/>
        <c:auto val="1"/>
        <c:lblAlgn val="ctr"/>
        <c:lblOffset val="100"/>
        <c:noMultiLvlLbl val="0"/>
      </c:catAx>
      <c:valAx>
        <c:axId val="55469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69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175260</xdr:colOff>
      <xdr:row>4</xdr:row>
      <xdr:rowOff>140970</xdr:rowOff>
    </xdr:from>
    <xdr:to>
      <xdr:col>10</xdr:col>
      <xdr:colOff>205740</xdr:colOff>
      <xdr:row>20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2BC6E1-3BD6-190E-E5D4-F1CE05FA0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ffan Nagani" refreshedDate="45877.853154861114" createdVersion="8" refreshedVersion="8" minRefreshableVersion="3" recordCount="5" xr:uid="{D79797BF-A64B-4601-A355-1AA7DDDDB169}">
  <cacheSource type="worksheet">
    <worksheetSource ref="A1:H6" sheet="Sales Data "/>
  </cacheSource>
  <cacheFields count="8">
    <cacheField name="Date" numFmtId="0">
      <sharedItems containsNonDate="0" containsDate="1" containsString="0" containsBlank="1" minDate="2025-01-01T00:00:00" maxDate="2025-01-03T00:00:00" count="3">
        <d v="2025-01-01T00:00:00"/>
        <d v="2025-01-02T00:00:00"/>
        <m/>
      </sharedItems>
    </cacheField>
    <cacheField name="Product" numFmtId="0">
      <sharedItems containsBlank="1" count="3">
        <s v="Mug A"/>
        <s v="Mug B"/>
        <m/>
      </sharedItems>
    </cacheField>
    <cacheField name="Units Sold" numFmtId="0">
      <sharedItems containsString="0" containsBlank="1" containsNumber="1" containsInteger="1" minValue="2" maxValue="5"/>
    </cacheField>
    <cacheField name="Price per Unit($)" numFmtId="0">
      <sharedItems containsString="0" containsBlank="1" containsNumber="1" containsInteger="1" minValue="250" maxValue="300"/>
    </cacheField>
    <cacheField name="Ad Cost($)" numFmtId="0">
      <sharedItems containsString="0" containsBlank="1" containsNumber="1" containsInteger="1" minValue="0" maxValue="200"/>
    </cacheField>
    <cacheField name="Revenue(units*price per unit)($)" numFmtId="0">
      <sharedItems containsString="0" containsBlank="1" containsNumber="1" containsInteger="1" minValue="600" maxValue="1250" count="5">
        <n v="1250"/>
        <n v="900"/>
        <n v="1000"/>
        <n v="600"/>
        <m/>
      </sharedItems>
    </cacheField>
    <cacheField name="Average daily revenue($)" numFmtId="0">
      <sharedItems containsSemiMixedTypes="0" containsString="0" containsNumber="1" minValue="100" maxValue="1250"/>
    </cacheField>
    <cacheField name="Metric goals (&gt;= 2000/day)" numFmtId="0">
      <sharedItems containsBlank="1" count="2">
        <s v="Goal Not achiev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5"/>
    <n v="250"/>
    <n v="200"/>
    <x v="0"/>
    <n v="1250"/>
    <x v="0"/>
  </r>
  <r>
    <x v="0"/>
    <x v="1"/>
    <n v="3"/>
    <n v="300"/>
    <n v="150"/>
    <x v="1"/>
    <n v="900"/>
    <x v="0"/>
  </r>
  <r>
    <x v="1"/>
    <x v="0"/>
    <n v="4"/>
    <n v="250"/>
    <n v="100"/>
    <x v="2"/>
    <n v="100"/>
    <x v="0"/>
  </r>
  <r>
    <x v="1"/>
    <x v="1"/>
    <n v="2"/>
    <n v="300"/>
    <n v="0"/>
    <x v="3"/>
    <n v="600"/>
    <x v="0"/>
  </r>
  <r>
    <x v="2"/>
    <x v="2"/>
    <m/>
    <m/>
    <m/>
    <x v="4"/>
    <n v="712.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44FAC-9E19-4D19-8A5F-5B0A02C1929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8" firstHeaderRow="1" firstDataRow="2" firstDataCol="1"/>
  <pivotFields count="8">
    <pivotField axis="axisCol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>
      <items count="6">
        <item x="3"/>
        <item x="1"/>
        <item x="2"/>
        <item x="0"/>
        <item x="4"/>
        <item t="default"/>
      </items>
    </pivotField>
    <pivotField showAll="0"/>
    <pivotField showAll="0">
      <items count="3">
        <item x="0"/>
        <item x="1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Revenue(units*price per unit)($)" fld="5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3608-42DE-4687-A269-BF82A4338328}">
  <dimension ref="A3:E8"/>
  <sheetViews>
    <sheetView workbookViewId="0">
      <selection activeCell="F3" sqref="F3"/>
    </sheetView>
  </sheetViews>
  <sheetFormatPr defaultRowHeight="14.4" x14ac:dyDescent="0.3"/>
  <cols>
    <col min="1" max="1" width="35.33203125" bestFit="1" customWidth="1"/>
    <col min="2" max="2" width="15.5546875" bestFit="1" customWidth="1"/>
    <col min="3" max="3" width="10.33203125" bestFit="1" customWidth="1"/>
    <col min="4" max="4" width="7" bestFit="1" customWidth="1"/>
    <col min="5" max="5" width="10.77734375" bestFit="1" customWidth="1"/>
    <col min="6" max="6" width="9" bestFit="1" customWidth="1"/>
    <col min="7" max="7" width="11.6640625" bestFit="1" customWidth="1"/>
    <col min="8" max="8" width="10.77734375" bestFit="1" customWidth="1"/>
    <col min="9" max="9" width="36.5546875" bestFit="1" customWidth="1"/>
  </cols>
  <sheetData>
    <row r="3" spans="1:5" x14ac:dyDescent="0.3">
      <c r="A3" s="5" t="s">
        <v>24</v>
      </c>
      <c r="B3" s="5" t="s">
        <v>18</v>
      </c>
    </row>
    <row r="4" spans="1:5" x14ac:dyDescent="0.3">
      <c r="A4" s="5" t="s">
        <v>15</v>
      </c>
      <c r="B4" s="7">
        <v>45658</v>
      </c>
      <c r="C4" s="7">
        <v>45659</v>
      </c>
      <c r="D4" t="s">
        <v>16</v>
      </c>
      <c r="E4" t="s">
        <v>17</v>
      </c>
    </row>
    <row r="5" spans="1:5" x14ac:dyDescent="0.3">
      <c r="A5" s="6" t="s">
        <v>13</v>
      </c>
      <c r="B5">
        <v>1250</v>
      </c>
      <c r="C5">
        <v>1000</v>
      </c>
      <c r="E5">
        <v>2250</v>
      </c>
    </row>
    <row r="6" spans="1:5" x14ac:dyDescent="0.3">
      <c r="A6" s="6" t="s">
        <v>14</v>
      </c>
      <c r="B6">
        <v>900</v>
      </c>
      <c r="C6">
        <v>600</v>
      </c>
      <c r="E6">
        <v>1500</v>
      </c>
    </row>
    <row r="7" spans="1:5" x14ac:dyDescent="0.3">
      <c r="A7" s="6" t="s">
        <v>16</v>
      </c>
    </row>
    <row r="8" spans="1:5" x14ac:dyDescent="0.3">
      <c r="A8" s="6" t="s">
        <v>17</v>
      </c>
      <c r="B8">
        <v>2150</v>
      </c>
      <c r="C8">
        <v>1600</v>
      </c>
      <c r="E8">
        <v>3750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I5" sqref="I5"/>
    </sheetView>
  </sheetViews>
  <sheetFormatPr defaultRowHeight="14.4" x14ac:dyDescent="0.3"/>
  <cols>
    <col min="6" max="6" width="25" customWidth="1"/>
    <col min="7" max="7" width="12.5546875" customWidth="1"/>
    <col min="8" max="8" width="16.44140625" customWidth="1"/>
    <col min="9" max="9" width="11.88671875" customWidth="1"/>
  </cols>
  <sheetData>
    <row r="1" spans="1:13" ht="28.8" x14ac:dyDescent="0.3">
      <c r="A1" s="8" t="s">
        <v>10</v>
      </c>
      <c r="B1" s="8" t="s">
        <v>11</v>
      </c>
      <c r="C1" s="8" t="s">
        <v>12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23</v>
      </c>
      <c r="I1" s="15" t="s">
        <v>25</v>
      </c>
      <c r="J1" s="16" t="s">
        <v>26</v>
      </c>
      <c r="K1" s="16" t="s">
        <v>27</v>
      </c>
      <c r="L1" s="16" t="s">
        <v>28</v>
      </c>
      <c r="M1" s="16" t="s">
        <v>29</v>
      </c>
    </row>
    <row r="2" spans="1:13" x14ac:dyDescent="0.3">
      <c r="A2" s="10">
        <v>45658</v>
      </c>
      <c r="B2" s="11" t="s">
        <v>13</v>
      </c>
      <c r="C2" s="11">
        <v>5</v>
      </c>
      <c r="D2" s="11">
        <v>250</v>
      </c>
      <c r="E2" s="11">
        <v>200</v>
      </c>
      <c r="F2" s="11">
        <f>C2*D2</f>
        <v>1250</v>
      </c>
      <c r="G2" s="11">
        <v>1250</v>
      </c>
      <c r="H2" s="9" t="str">
        <f>IF(AVERAGEA(G2:G5)&gt;=2000,"goal achieved", "Goal Not achieved")</f>
        <v>Goal Not achieved</v>
      </c>
      <c r="I2" s="17">
        <f>SUM(F2:F5)</f>
        <v>3750</v>
      </c>
      <c r="J2" s="18">
        <f>SUM(E2:E5)</f>
        <v>450</v>
      </c>
      <c r="K2" s="19">
        <f>(SUM(F2:F5)-SUM(E2:E5))/SUM(E2:E5)</f>
        <v>7.333333333333333</v>
      </c>
      <c r="L2" s="18">
        <f>SUM(F2:F5)-SUM(E2:E5)</f>
        <v>3300</v>
      </c>
      <c r="M2" s="18">
        <f>AVERAGE(G2:G5)</f>
        <v>712.5</v>
      </c>
    </row>
    <row r="3" spans="1:13" x14ac:dyDescent="0.3">
      <c r="A3" s="10">
        <v>45658</v>
      </c>
      <c r="B3" s="11" t="s">
        <v>14</v>
      </c>
      <c r="C3" s="11">
        <v>3</v>
      </c>
      <c r="D3" s="11">
        <v>300</v>
      </c>
      <c r="E3" s="11">
        <v>150</v>
      </c>
      <c r="F3" s="11">
        <f>C3*D3</f>
        <v>900</v>
      </c>
      <c r="G3" s="11">
        <v>900</v>
      </c>
      <c r="H3" s="9" t="str">
        <f>IF(AVERAGEA(G2:G5)&gt;=2000,"goal achieved", "Goal Not achieved")</f>
        <v>Goal Not achieved</v>
      </c>
    </row>
    <row r="4" spans="1:13" x14ac:dyDescent="0.3">
      <c r="A4" s="10">
        <v>45659</v>
      </c>
      <c r="B4" s="11" t="s">
        <v>13</v>
      </c>
      <c r="C4" s="11">
        <v>4</v>
      </c>
      <c r="D4" s="11">
        <v>250</v>
      </c>
      <c r="E4" s="11">
        <v>100</v>
      </c>
      <c r="F4" s="11">
        <f>C4*D4</f>
        <v>1000</v>
      </c>
      <c r="G4" s="11">
        <v>100</v>
      </c>
      <c r="H4" s="9" t="str">
        <f>IF(AVERAGEA(G2:G5)&gt;=2000,"goal achieved", "Goal Not achieved")</f>
        <v>Goal Not achieved</v>
      </c>
    </row>
    <row r="5" spans="1:13" x14ac:dyDescent="0.3">
      <c r="A5" s="10">
        <v>45659</v>
      </c>
      <c r="B5" s="11" t="s">
        <v>14</v>
      </c>
      <c r="C5" s="11">
        <v>2</v>
      </c>
      <c r="D5" s="11">
        <v>300</v>
      </c>
      <c r="E5" s="11">
        <v>0</v>
      </c>
      <c r="F5" s="11">
        <f>C5*D5</f>
        <v>600</v>
      </c>
      <c r="G5" s="11">
        <v>600</v>
      </c>
      <c r="H5" s="9" t="str">
        <f>IF(AVERAGEA(G2:G5)&gt;=2000,"goal achieved", "Goal Not achieved")</f>
        <v>Goal Not achieved</v>
      </c>
    </row>
    <row r="6" spans="1:13" x14ac:dyDescent="0.3">
      <c r="E6" s="4"/>
      <c r="F6" s="3"/>
      <c r="G6" s="4"/>
    </row>
    <row r="14" spans="1:13" x14ac:dyDescent="0.3">
      <c r="F14" s="12"/>
      <c r="G14" s="12"/>
      <c r="H14" s="12"/>
      <c r="I14" s="12"/>
      <c r="J14" s="12"/>
    </row>
    <row r="15" spans="1:13" x14ac:dyDescent="0.3">
      <c r="F15" s="13"/>
      <c r="G15" s="13"/>
      <c r="H15" s="14"/>
      <c r="I15" s="13"/>
      <c r="J15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6B20-9225-4E54-9C56-CD69BD4EEB73}">
  <dimension ref="A1:A18"/>
  <sheetViews>
    <sheetView workbookViewId="0">
      <selection activeCell="D9" sqref="D9"/>
    </sheetView>
  </sheetViews>
  <sheetFormatPr defaultRowHeight="14.4" x14ac:dyDescent="0.3"/>
  <cols>
    <col min="1" max="1" width="82.21875" customWidth="1"/>
  </cols>
  <sheetData>
    <row r="1" spans="1:1" ht="23.4" x14ac:dyDescent="0.3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s="2"/>
    </row>
    <row r="6" spans="1:1" x14ac:dyDescent="0.3">
      <c r="A6" s="2" t="s">
        <v>3</v>
      </c>
    </row>
    <row r="7" spans="1:1" x14ac:dyDescent="0.3">
      <c r="A7" s="2"/>
    </row>
    <row r="8" spans="1:1" x14ac:dyDescent="0.3">
      <c r="A8" s="2" t="s">
        <v>4</v>
      </c>
    </row>
    <row r="9" spans="1:1" x14ac:dyDescent="0.3">
      <c r="A9" s="2"/>
    </row>
    <row r="10" spans="1:1" x14ac:dyDescent="0.3">
      <c r="A10" s="2" t="s">
        <v>5</v>
      </c>
    </row>
    <row r="11" spans="1:1" x14ac:dyDescent="0.3">
      <c r="A11" s="2"/>
    </row>
    <row r="12" spans="1:1" x14ac:dyDescent="0.3">
      <c r="A12" s="2" t="s">
        <v>6</v>
      </c>
    </row>
    <row r="13" spans="1:1" x14ac:dyDescent="0.3">
      <c r="A13" s="2"/>
    </row>
    <row r="14" spans="1:1" x14ac:dyDescent="0.3">
      <c r="A14" s="2" t="s">
        <v>7</v>
      </c>
    </row>
    <row r="15" spans="1:1" x14ac:dyDescent="0.3">
      <c r="A15" s="2"/>
    </row>
    <row r="16" spans="1:1" x14ac:dyDescent="0.3">
      <c r="A16" s="2" t="s">
        <v>8</v>
      </c>
    </row>
    <row r="17" spans="1:1" x14ac:dyDescent="0.3">
      <c r="A17" s="2"/>
    </row>
    <row r="18" spans="1:1" x14ac:dyDescent="0.3">
      <c r="A18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Sales Data </vt:lpstr>
      <vt:lpstr>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Saffan Nagani</dc:creator>
  <cp:lastModifiedBy>Saffan Aftab Nagani</cp:lastModifiedBy>
  <dcterms:created xsi:type="dcterms:W3CDTF">2015-06-05T18:17:20Z</dcterms:created>
  <dcterms:modified xsi:type="dcterms:W3CDTF">2025-09-04T09:42:07Z</dcterms:modified>
</cp:coreProperties>
</file>